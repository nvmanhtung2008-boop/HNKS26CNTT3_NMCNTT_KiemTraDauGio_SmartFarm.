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<sst xmlns="http://schemas.openxmlformats.org/spreadsheetml/2006/main" count="48" uniqueCount="36">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</sst>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4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L5" sqref="L5"/>
    </sheetView>
  </sheetViews>
  <sheetFormatPr defaultColWidth="9" defaultRowHeight="14.4" outlineLevelCol="5"/>
  <cols>
    <col min="1" max="4" width="24" customWidth="1"/>
    <col min="5" max="5" width="18" customWidth="1"/>
    <col min="6" max="6" width="21.6666666666667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 cm="1">
        <f t="array" ref="E2:E11">TRIM(B2:B11)</f>
        <v>LK02</v>
      </c>
      <c r="F2" t="str">
        <f>VLOOKUP(E2,'danh-muc-linh-kien'!$A$1:$D$7,2,FALSE)</f>
        <v>Intel NUC i3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v>LK01</v>
      </c>
      <c r="F3" t="str">
        <f>VLOOKUP(E3,'danh-muc-linh-kien'!$A$1:$D$7,2,FALSE)</f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v>LK05</v>
      </c>
      <c r="F4" t="str">
        <f>VLOOKUP(E4,'danh-muc-linh-kien'!$A$1:$D$7,2,FALSE)</f>
        <v>Mini PC Fanless N100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v>LK03</v>
      </c>
      <c r="F5" t="str">
        <f>VLOOKUP(E5,'danh-muc-linh-kien'!$A$1:$D$7,2,FALSE)</f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v>LK02</v>
      </c>
      <c r="F6" t="str">
        <f>VLOOKUP(E6,'danh-muc-linh-kien'!$A$1:$D$7,2,FALSE)</f>
        <v>Intel NUC i3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v>LK06</v>
      </c>
      <c r="F7" t="str">
        <f>VLOOKUP(E7,'danh-muc-linh-kien'!$A$1:$D$7,2,FALSE)</f>
        <v>Synology DS220j NAS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v>LK01</v>
      </c>
      <c r="F8" t="str">
        <f>VLOOKUP(E8,'danh-muc-linh-kien'!$A$1:$D$7,2,FALSE)</f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v>LK04</v>
      </c>
      <c r="F9" t="str">
        <f>VLOOKUP(E9,'danh-muc-linh-kien'!$A$1:$D$7,2,FALSE)</f>
        <v>Dell Optiplex Micro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v>LK03</v>
      </c>
      <c r="F10" t="str">
        <f>VLOOKUP(E10,'danh-muc-linh-kien'!$A$1:$D$7,2,FALSE)</f>
        <v>Orange Pi 5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v>LK05</v>
      </c>
      <c r="F11" t="str">
        <f>VLOOKUP(E11,'danh-muc-linh-kien'!$A$1:$D$7,2,FALSE)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manh tung nguyen van</cp:lastModifiedBy>
  <dcterms:created xsi:type="dcterms:W3CDTF">2026-10-13T00:17:00Z</dcterms:created>
  <dcterms:modified xsi:type="dcterms:W3CDTF">2026-10-27T08:36:37Z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A4F52A0EA3E04B1D88BC2CF49C8BAE4F_13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